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📖 Overview" sheetId="1" state="visible" r:id="rId3"/>
    <sheet name="🗂️ Flow Inventory" sheetId="2" state="visible" r:id="rId4"/>
    <sheet name="✅ Universal Checklist" sheetId="3" state="visible" r:id="rId5"/>
    <sheet name="🧪 Test Cases" sheetId="4" state="visible" r:id="rId6"/>
    <sheet name="🐛 Defect Log" sheetId="5" state="visible" r:id="rId7"/>
    <sheet name="📊 Progress Track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<sst xmlns="http://schemas.openxmlformats.org/spreadsheetml/2006/main" count="389" uniqueCount="283">
  <si>
    <t xml:space="preserve">🚀 Sales Cloud Flow Testing Framework</t>
  </si>
  <si>
    <t xml:space="preserve">Akcelerator do manualnego testowania Salesforce Flow | v1.0 | 2025</t>
  </si>
  <si>
    <t xml:space="preserve">📋 ZAWARTOŚĆ FRAMEWORKU</t>
  </si>
  <si>
    <t xml:space="preserve">Arkusz</t>
  </si>
  <si>
    <t xml:space="preserve">Opis</t>
  </si>
  <si>
    <t xml:space="preserve">Kolejność</t>
  </si>
  <si>
    <t xml:space="preserve">📖 Overview</t>
  </si>
  <si>
    <t xml:space="preserve">Ten arkusz — opis i instrukcja użycia</t>
  </si>
  <si>
    <t xml:space="preserve">🗂️ Flow Inventory</t>
  </si>
  <si>
    <t xml:space="preserve">Inwentarz wszystkich Flow w org przed testami</t>
  </si>
  <si>
    <t xml:space="preserve">Krok 1</t>
  </si>
  <si>
    <t xml:space="preserve">✅ Universal Checklist</t>
  </si>
  <si>
    <t xml:space="preserve">Checklist dla każdego typu Flow</t>
  </si>
  <si>
    <t xml:space="preserve">Krok 2</t>
  </si>
  <si>
    <t xml:space="preserve">🧪 Test Cases</t>
  </si>
  <si>
    <t xml:space="preserve">Szczegółowe przypadki testowe per typ Flow</t>
  </si>
  <si>
    <t xml:space="preserve">Krok 3</t>
  </si>
  <si>
    <t xml:space="preserve">🐛 Defect Log</t>
  </si>
  <si>
    <t xml:space="preserve">Rejestr błędów ze specyfiką Salesforce Flow</t>
  </si>
  <si>
    <t xml:space="preserve">Krok 4</t>
  </si>
  <si>
    <t xml:space="preserve">📊 Progress Tracker</t>
  </si>
  <si>
    <t xml:space="preserve">Śledzenie postępu testów i statystyki</t>
  </si>
  <si>
    <t xml:space="preserve">Krok 5</t>
  </si>
  <si>
    <t xml:space="preserve">💡 JAK UŻYWAĆ TEGO FRAMEWORKU</t>
  </si>
  <si>
    <t xml:space="preserve">1️⃣ Wypełnij Flow Inventory</t>
  </si>
  <si>
    <t xml:space="preserve">Zbierz wszystkie Flow z org (Setup &gt; Flows). Wpisz nazwę, typ, trigger i status.</t>
  </si>
  <si>
    <t xml:space="preserve">2️⃣ Użyj Universal Checklist</t>
  </si>
  <si>
    <t xml:space="preserve">Dla każdego testowanego Flow, przejdź przez Universal Checklist i oznacz status.</t>
  </si>
  <si>
    <t xml:space="preserve">3️⃣ Uruchom Test Cases</t>
  </si>
  <si>
    <t xml:space="preserve">Wybierz odpowiedni typ Flow i wykonaj szczegółowe przypadki testowe.</t>
  </si>
  <si>
    <t xml:space="preserve">4️⃣ Loguj błędy w Defect Log</t>
  </si>
  <si>
    <t xml:space="preserve">Każdy znaleziony błąd zapisz w Defect Log z krokami reprodukcji.</t>
  </si>
  <si>
    <t xml:space="preserve">5️⃣ Śledź postęp</t>
  </si>
  <si>
    <t xml:space="preserve">Progress Tracker automatycznie zlicza statystyki na podstawie Twoich wpisów.</t>
  </si>
  <si>
    <t xml:space="preserve">🗂️ FLOW INVENTORY — Inwentarz Flow w Org</t>
  </si>
  <si>
    <t xml:space="preserve">Wypełnij przed rozpoczęciem testów. Źródło: Setup &gt; Process Automation &gt; Flows</t>
  </si>
  <si>
    <t xml:space="preserve">#</t>
  </si>
  <si>
    <t xml:space="preserve">Nazwa Flow</t>
  </si>
  <si>
    <t xml:space="preserve">Typ Flow</t>
  </si>
  <si>
    <t xml:space="preserve">Trigger / Obiekt</t>
  </si>
  <si>
    <t xml:space="preserve">Wersja</t>
  </si>
  <si>
    <t xml:space="preserve">Status</t>
  </si>
  <si>
    <t xml:space="preserve">Środowisko</t>
  </si>
  <si>
    <t xml:space="preserve">Właściciel</t>
  </si>
  <si>
    <t xml:space="preserve">Uwagi</t>
  </si>
  <si>
    <t xml:space="preserve">Lead_AutoAssignment_Flow</t>
  </si>
  <si>
    <t xml:space="preserve">Record-Triggered</t>
  </si>
  <si>
    <t xml:space="preserve">Lead — After Save (Create)</t>
  </si>
  <si>
    <t xml:space="preserve">v3</t>
  </si>
  <si>
    <t xml:space="preserve">Aktywny</t>
  </si>
  <si>
    <t xml:space="preserve">Sandbox</t>
  </si>
  <si>
    <t xml:space="preserve">Jan Kowalski</t>
  </si>
  <si>
    <t xml:space="preserve">Przypisuje leada wg regionu</t>
  </si>
  <si>
    <t xml:space="preserve">Opportunity_StageChange_Notification</t>
  </si>
  <si>
    <t xml:space="preserve">Opportunity — After Save (Update)</t>
  </si>
  <si>
    <t xml:space="preserve">v1</t>
  </si>
  <si>
    <t xml:space="preserve">Anna Nowak</t>
  </si>
  <si>
    <t xml:space="preserve">Wysyła email przy zmianie Stage</t>
  </si>
  <si>
    <t xml:space="preserve">NewClient_Onboarding_Screen</t>
  </si>
  <si>
    <t xml:space="preserve">Screen Flow</t>
  </si>
  <si>
    <t xml:space="preserve">Uruchamiany ręcznie z Account</t>
  </si>
  <si>
    <t xml:space="preserve">v5</t>
  </si>
  <si>
    <t xml:space="preserve">Piotr Wiśniewski</t>
  </si>
  <si>
    <t xml:space="preserve">Ekranowy flow dla onboardingu</t>
  </si>
  <si>
    <t xml:space="preserve">Monthly_Opportunity_Cleanup</t>
  </si>
  <si>
    <t xml:space="preserve">Scheduled</t>
  </si>
  <si>
    <t xml:space="preserve">Opportunity — co 1. miesiąca</t>
  </si>
  <si>
    <t xml:space="preserve">v2</t>
  </si>
  <si>
    <t xml:space="preserve">Zamyka stare Opp bez aktywności</t>
  </si>
  <si>
    <t xml:space="preserve">Quote_Approval_AutoLaunch</t>
  </si>
  <si>
    <t xml:space="preserve">Auto-launched</t>
  </si>
  <si>
    <t xml:space="preserve">Wywoływany z Apex po zatwierdzeniu</t>
  </si>
  <si>
    <t xml:space="preserve">Tworzy Order po aprobacie Quote</t>
  </si>
  <si>
    <t xml:space="preserve">✅ UNIVERSAL FLOW TEST CHECKLIST</t>
  </si>
  <si>
    <t xml:space="preserve">Stosuj dla każdego testowanego Flow. Jeden arkusz = jeden Flow.</t>
  </si>
  <si>
    <t xml:space="preserve">Nazwa Flow:</t>
  </si>
  <si>
    <t xml:space="preserve">Tester:</t>
  </si>
  <si>
    <t xml:space="preserve">Typ Flow:</t>
  </si>
  <si>
    <t xml:space="preserve">Data testu:</t>
  </si>
  <si>
    <t xml:space="preserve">Wersja:</t>
  </si>
  <si>
    <t xml:space="preserve">Środowisko:</t>
  </si>
  <si>
    <t xml:space="preserve">🔵 WARUNKI URUCHOMIENIA</t>
  </si>
  <si>
    <t xml:space="preserve">ID</t>
  </si>
  <si>
    <t xml:space="preserve">Przypadek testowy</t>
  </si>
  <si>
    <t xml:space="preserve">Priorytet</t>
  </si>
  <si>
    <t xml:space="preserve">TC-001</t>
  </si>
  <si>
    <t xml:space="preserve">Flow uruchamia się przy właściwym zdarzeniu (Create/Update/Delete/Schedule)</t>
  </si>
  <si>
    <t xml:space="preserve">Kluczowe</t>
  </si>
  <si>
    <t xml:space="preserve">TC-002</t>
  </si>
  <si>
    <t xml:space="preserve">Flow NIE uruchamia się gdy warunki wejścia nie są spełnione</t>
  </si>
  <si>
    <t xml:space="preserve">TC-003</t>
  </si>
  <si>
    <t xml:space="preserve">Entry Criteria filtruje poprawnie rekordy</t>
  </si>
  <si>
    <t xml:space="preserve">TC-004</t>
  </si>
  <si>
    <t xml:space="preserve">Flow nie uruchamia się na rekordach spoza zakresu</t>
  </si>
  <si>
    <t xml:space="preserve">Ważne</t>
  </si>
  <si>
    <t xml:space="preserve">🟠 LOGIKA I DECYZJE</t>
  </si>
  <si>
    <t xml:space="preserve">TC-005</t>
  </si>
  <si>
    <t xml:space="preserve">Każda gałąź Decision Node prowadzi do poprawnego wyniku</t>
  </si>
  <si>
    <t xml:space="preserve">TC-006</t>
  </si>
  <si>
    <t xml:space="preserve">Warunek Default w Decision działa gdy żaden warunek nie pasuje</t>
  </si>
  <si>
    <t xml:space="preserve">TC-007</t>
  </si>
  <si>
    <t xml:space="preserve">Pętle (Loop) iterują po poprawnej kolekcji rekordów</t>
  </si>
  <si>
    <t xml:space="preserve">TC-008</t>
  </si>
  <si>
    <t xml:space="preserve">Assignment ustawia zmienne poprawnie</t>
  </si>
  <si>
    <t xml:space="preserve">Standardowe</t>
  </si>
  <si>
    <t xml:space="preserve">TC-009</t>
  </si>
  <si>
    <t xml:space="preserve">Zmienne formuł obliczają poprawne wartości</t>
  </si>
  <si>
    <t xml:space="preserve">🟢 OPERACJE NA DANYCH</t>
  </si>
  <si>
    <t xml:space="preserve">TC-010</t>
  </si>
  <si>
    <t xml:space="preserve">Get Records pobiera właściwe rekordy z poprawnymi filtrami</t>
  </si>
  <si>
    <t xml:space="preserve">TC-011</t>
  </si>
  <si>
    <t xml:space="preserve">Create Records tworzy rekordy z poprawnymi wartościami pól</t>
  </si>
  <si>
    <t xml:space="preserve">TC-012</t>
  </si>
  <si>
    <t xml:space="preserve">Update Records aktualizuje właściwe rekordy i pola</t>
  </si>
  <si>
    <t xml:space="preserve">TC-013</t>
  </si>
  <si>
    <t xml:space="preserve">Delete Records usuwa właściwe rekordy (jeśli dotyczy)</t>
  </si>
  <si>
    <t xml:space="preserve">TC-014</t>
  </si>
  <si>
    <t xml:space="preserve">Bulkifikacja — Flow działa poprawnie na wielu rekordach jednocześnie</t>
  </si>
  <si>
    <t xml:space="preserve">🔴 OBSŁUGA BŁĘDÓW</t>
  </si>
  <si>
    <t xml:space="preserve">TC-015</t>
  </si>
  <si>
    <t xml:space="preserve">Fault Path jest zdefiniowany i obsługuje błędy gracefully</t>
  </si>
  <si>
    <t xml:space="preserve">TC-016</t>
  </si>
  <si>
    <t xml:space="preserve">Komunikat błędu jest zrozumiały dla użytkownika</t>
  </si>
  <si>
    <t xml:space="preserve">TC-017</t>
  </si>
  <si>
    <t xml:space="preserve">Flow nie powoduje wyjątku UNABLE_TO_LOCK_ROW</t>
  </si>
  <si>
    <t xml:space="preserve">TC-018</t>
  </si>
  <si>
    <t xml:space="preserve">Flow nie przekracza governor limits (DML, SOQL, CPU)</t>
  </si>
  <si>
    <t xml:space="preserve">🟣 UPRAWNIENIA I BEZPIECZEŃSTWO</t>
  </si>
  <si>
    <t xml:space="preserve">TC-019</t>
  </si>
  <si>
    <t xml:space="preserve">Flow działa poprawnie dla profilu Administratora</t>
  </si>
  <si>
    <t xml:space="preserve">TC-020</t>
  </si>
  <si>
    <t xml:space="preserve">Flow działa poprawnie dla profilu użytkownika standardowego</t>
  </si>
  <si>
    <t xml:space="preserve">TC-021</t>
  </si>
  <si>
    <t xml:space="preserve">Flow nie ujawnia danych do których user nie ma dostępu</t>
  </si>
  <si>
    <t xml:space="preserve">TC-022</t>
  </si>
  <si>
    <t xml:space="preserve">Running User ma wymagane uprawnienia do operacji Flow</t>
  </si>
  <si>
    <t xml:space="preserve">⚙️ SPECYFICZNE DLA SCREEN FLOW</t>
  </si>
  <si>
    <t xml:space="preserve">TC-023</t>
  </si>
  <si>
    <t xml:space="preserve">Nawigacja (Wstecz/Dalej/Zakończ) działa poprawnie</t>
  </si>
  <si>
    <t xml:space="preserve">TC-024</t>
  </si>
  <si>
    <t xml:space="preserve">Walidacje na ekranach blokują przejście przy błędnych danych</t>
  </si>
  <si>
    <t xml:space="preserve">TC-025</t>
  </si>
  <si>
    <t xml:space="preserve">Componenty ekranowe wyświetlają się poprawnie na różnych przeglądarkach</t>
  </si>
  <si>
    <t xml:space="preserve">TC-026</t>
  </si>
  <si>
    <t xml:space="preserve">Dane wprowadzone przez użytkownika są poprawnie przenoszone</t>
  </si>
  <si>
    <t xml:space="preserve">🧪 SZCZEGÓŁOWE PRZYPADKI TESTOWE — PER TYP FLOW</t>
  </si>
  <si>
    <t xml:space="preserve">📌 RECORD-TRIGGERED FLOW</t>
  </si>
  <si>
    <t xml:space="preserve">Nazwa testu</t>
  </si>
  <si>
    <t xml:space="preserve">Kroki</t>
  </si>
  <si>
    <t xml:space="preserve">Oczekiwany wynik</t>
  </si>
  <si>
    <t xml:space="preserve">Defekt #</t>
  </si>
  <si>
    <t xml:space="preserve">RT-001</t>
  </si>
  <si>
    <t xml:space="preserve">Flow na Create</t>
  </si>
  <si>
    <t xml:space="preserve">Utwórz nowy rekord spełniający Entry Criteria</t>
  </si>
  <si>
    <t xml:space="preserve">Flow uruchamia się, wykonuje akcję, brak błędów</t>
  </si>
  <si>
    <t xml:space="preserve">RT-002</t>
  </si>
  <si>
    <t xml:space="preserve">Flow na Create — negatywny</t>
  </si>
  <si>
    <t xml:space="preserve">Utwórz rekord NIE spełniający Entry Criteria</t>
  </si>
  <si>
    <t xml:space="preserve">Flow NIE uruchamia się</t>
  </si>
  <si>
    <t xml:space="preserve">RT-003</t>
  </si>
  <si>
    <t xml:space="preserve">Flow na Update</t>
  </si>
  <si>
    <t xml:space="preserve">Zaktualizuj pole triggujące Flow</t>
  </si>
  <si>
    <t xml:space="preserve">Flow uruchamia się po Update</t>
  </si>
  <si>
    <t xml:space="preserve">RT-004</t>
  </si>
  <si>
    <t xml:space="preserve">Rekursja</t>
  </si>
  <si>
    <t xml:space="preserve">Akcja Flow aktualizuje ten sam rekord</t>
  </si>
  <si>
    <t xml:space="preserve">Flow nie wchodzi w nieskończoną pętlę</t>
  </si>
  <si>
    <t xml:space="preserve">RT-005</t>
  </si>
  <si>
    <t xml:space="preserve">Bulk — 200 rekordów</t>
  </si>
  <si>
    <t xml:space="preserve">Zaimportuj 200 rekordów via Data Loader</t>
  </si>
  <si>
    <t xml:space="preserve">Flow przetwarza wszystkie bez błędu governor limits</t>
  </si>
  <si>
    <t xml:space="preserve">RT-006</t>
  </si>
  <si>
    <t xml:space="preserve">Before Save vs After Save</t>
  </si>
  <si>
    <t xml:space="preserve">Sprawdź czy Flow modyfikuje rekord przed/po zapisie</t>
  </si>
  <si>
    <t xml:space="preserve">Dane na rekordzie poprawne po wykonaniu Flow</t>
  </si>
  <si>
    <t xml:space="preserve">📺 SCREEN FLOW</t>
  </si>
  <si>
    <t xml:space="preserve">SF-001</t>
  </si>
  <si>
    <t xml:space="preserve">Happy Path</t>
  </si>
  <si>
    <t xml:space="preserve">Wypełnij wszystkie pola i przejdź do końca</t>
  </si>
  <si>
    <t xml:space="preserve">Flow kończy się sukcesem, dane zapisane</t>
  </si>
  <si>
    <t xml:space="preserve">SF-002</t>
  </si>
  <si>
    <t xml:space="preserve">Walidacja — puste pola wymagane</t>
  </si>
  <si>
    <t xml:space="preserve">Pozostaw wymagane pole puste, kliknij Dalej</t>
  </si>
  <si>
    <t xml:space="preserve">Komunikat walidacji, brak przejścia dalej</t>
  </si>
  <si>
    <t xml:space="preserve">SF-003</t>
  </si>
  <si>
    <t xml:space="preserve">Walidacja — błędny format</t>
  </si>
  <si>
    <t xml:space="preserve">Wpisz błędny email/telefon/datę</t>
  </si>
  <si>
    <t xml:space="preserve">Komunikat o błędnym formacie</t>
  </si>
  <si>
    <t xml:space="preserve">SF-004</t>
  </si>
  <si>
    <t xml:space="preserve">Nawigacja Wstecz</t>
  </si>
  <si>
    <t xml:space="preserve">Przejdź do ekranu 3, kliknij Wstecz</t>
  </si>
  <si>
    <t xml:space="preserve">Powrót do ekranu 2, dane nie tracone</t>
  </si>
  <si>
    <t xml:space="preserve">SF-005</t>
  </si>
  <si>
    <t xml:space="preserve">Anuluj Flow</t>
  </si>
  <si>
    <t xml:space="preserve">Kliknij Anuluj w połowie Flow</t>
  </si>
  <si>
    <t xml:space="preserve">Flow kończy się, brak częściowych zapisów</t>
  </si>
  <si>
    <t xml:space="preserve">SF-006</t>
  </si>
  <si>
    <t xml:space="preserve">Conditional Visibility</t>
  </si>
  <si>
    <t xml:space="preserve">Sprawdź pola/sekcje widoczne warunkowo</t>
  </si>
  <si>
    <t xml:space="preserve">Elementy pokazują/ukrywają się wg warunków</t>
  </si>
  <si>
    <t xml:space="preserve">⏰ SCHEDULED FLOW</t>
  </si>
  <si>
    <t xml:space="preserve">SCH-001</t>
  </si>
  <si>
    <t xml:space="preserve">Harmonogram</t>
  </si>
  <si>
    <t xml:space="preserve">Sprawdź konfigurację: częstotliwość, godzina, strefa</t>
  </si>
  <si>
    <t xml:space="preserve">Harmonogram zgodny z wymaganiami</t>
  </si>
  <si>
    <t xml:space="preserve">SCH-002</t>
  </si>
  <si>
    <t xml:space="preserve">Filtr rekordów</t>
  </si>
  <si>
    <t xml:space="preserve">Sprawdź które rekordy są przetwarzane</t>
  </si>
  <si>
    <t xml:space="preserve">Tylko rekordy spełniające warunki przetwarzane</t>
  </si>
  <si>
    <t xml:space="preserve">SCH-003</t>
  </si>
  <si>
    <t xml:space="preserve">Batch size</t>
  </si>
  <si>
    <t xml:space="preserve">Sprawdź zachowanie przy dużej liczbie rekordów</t>
  </si>
  <si>
    <t xml:space="preserve">Flow przetwarza w batches, brak timeout</t>
  </si>
  <si>
    <t xml:space="preserve">SCH-004</t>
  </si>
  <si>
    <t xml:space="preserve">Idempotentność</t>
  </si>
  <si>
    <t xml:space="preserve">Uruchom Flow dwukrotnie na tych samych rekordach</t>
  </si>
  <si>
    <t xml:space="preserve">Drugi run nie duplikuje danych / jest bezpieczny</t>
  </si>
  <si>
    <t xml:space="preserve">⚡ AUTO-LAUNCHED FLOW</t>
  </si>
  <si>
    <t xml:space="preserve">AL-001</t>
  </si>
  <si>
    <t xml:space="preserve">Wywołanie z Apex</t>
  </si>
  <si>
    <t xml:space="preserve">Uruchom Apex triggujący Flow</t>
  </si>
  <si>
    <t xml:space="preserve">Flow wykonuje się poprawnie, zwraca output vars</t>
  </si>
  <si>
    <t xml:space="preserve">AL-002</t>
  </si>
  <si>
    <t xml:space="preserve">Zmienne wejściowe</t>
  </si>
  <si>
    <t xml:space="preserve">Przekaż różne kombinacje parametrów</t>
  </si>
  <si>
    <t xml:space="preserve">Flow obsługuje każdą kombinację bez błędu</t>
  </si>
  <si>
    <t xml:space="preserve">AL-003</t>
  </si>
  <si>
    <t xml:space="preserve">Zmienne wyjściowe</t>
  </si>
  <si>
    <t xml:space="preserve">Sprawdź wartości zwracane przez Flow</t>
  </si>
  <si>
    <t xml:space="preserve">Output variables zawierają poprawne wartości</t>
  </si>
  <si>
    <t xml:space="preserve">AL-004</t>
  </si>
  <si>
    <t xml:space="preserve">Error handling</t>
  </si>
  <si>
    <t xml:space="preserve">Przekaż niepoprawne parametry</t>
  </si>
  <si>
    <t xml:space="preserve">Flow obsługuje błąd gracefully, brak unhandled exception</t>
  </si>
  <si>
    <t xml:space="preserve">🐛 DEFECT LOG — Rejestr Błędów Flow</t>
  </si>
  <si>
    <t xml:space="preserve">Element Flow</t>
  </si>
  <si>
    <t xml:space="preserve">Severity</t>
  </si>
  <si>
    <t xml:space="preserve">Priority</t>
  </si>
  <si>
    <t xml:space="preserve">Kroki reprodukcji</t>
  </si>
  <si>
    <t xml:space="preserve">Expected vs Actual</t>
  </si>
  <si>
    <t xml:space="preserve">Jira/ID</t>
  </si>
  <si>
    <t xml:space="preserve">DEF-001</t>
  </si>
  <si>
    <t xml:space="preserve">Decision: Region Check</t>
  </si>
  <si>
    <t xml:space="preserve">High</t>
  </si>
  <si>
    <t xml:space="preserve">P1</t>
  </si>
  <si>
    <t xml:space="preserve">1. Utwórz Lead z Region=NULL
2. Zapisz rekord</t>
  </si>
  <si>
    <t xml:space="preserve">Expected: Lead przypisany do Default Queue
Actual: Flow rzuca błąd NullPointerException</t>
  </si>
  <si>
    <t xml:space="preserve">Open</t>
  </si>
  <si>
    <t xml:space="preserve">JIRA-1234</t>
  </si>
  <si>
    <t xml:space="preserve">DEF-002</t>
  </si>
  <si>
    <t xml:space="preserve">Screen: Step 2 - Contact</t>
  </si>
  <si>
    <t xml:space="preserve">Medium</t>
  </si>
  <si>
    <t xml:space="preserve">P2</t>
  </si>
  <si>
    <t xml:space="preserve">1. Otwórz Screen Flow
2. Wpisz email bez '@'
3. Kliknij Dalej</t>
  </si>
  <si>
    <t xml:space="preserve">Expected: Walidacja blokuje przejście
Actual: Flow przechodzi do Step 3 z błędnym emailem</t>
  </si>
  <si>
    <t xml:space="preserve">In Progress</t>
  </si>
  <si>
    <t xml:space="preserve">JIRA-1235</t>
  </si>
  <si>
    <t xml:space="preserve">DEF-003</t>
  </si>
  <si>
    <t xml:space="preserve">Loop: Opp Iterator</t>
  </si>
  <si>
    <t xml:space="preserve">1. Uruchom Scheduled Flow z 500+ Opp
2. Sprawdź logi</t>
  </si>
  <si>
    <t xml:space="preserve">Expected: Wszystkie Opp przetworzone
Actual: Flow rzuca Too many DML statements: 151</t>
  </si>
  <si>
    <t xml:space="preserve">JIRA-1236</t>
  </si>
  <si>
    <t xml:space="preserve">📊 PROGRESS TRACKER — Postęp Testów Flow</t>
  </si>
  <si>
    <t xml:space="preserve">PODSUMOWANIE PROJEKTU</t>
  </si>
  <si>
    <t xml:space="preserve">Nazwa projektu:</t>
  </si>
  <si>
    <t xml:space="preserve">Sprint / Release:</t>
  </si>
  <si>
    <t xml:space="preserve">Data startu testów:</t>
  </si>
  <si>
    <t xml:space="preserve">Data końca testów:</t>
  </si>
  <si>
    <t xml:space="preserve">Główny tester:</t>
  </si>
  <si>
    <t xml:space="preserve">STATUS PER FLOW</t>
  </si>
  <si>
    <t xml:space="preserve">Łącznie TC</t>
  </si>
  <si>
    <t xml:space="preserve">Pass ✅</t>
  </si>
  <si>
    <t xml:space="preserve">Fail ❌</t>
  </si>
  <si>
    <t xml:space="preserve">Blocked ⛔</t>
  </si>
  <si>
    <t xml:space="preserve">N/A</t>
  </si>
  <si>
    <t xml:space="preserve">% Pass</t>
  </si>
  <si>
    <t xml:space="preserve">ŁĄCZNIE</t>
  </si>
  <si>
    <t xml:space="preserve">PODSUMOWANIE DEFEKTÓW</t>
  </si>
  <si>
    <t xml:space="preserve">Łącznie</t>
  </si>
  <si>
    <t xml:space="preserve">Closed</t>
  </si>
  <si>
    <t xml:space="preserve">% Closed</t>
  </si>
  <si>
    <t xml:space="preserve">Critical</t>
  </si>
  <si>
    <t xml:space="preserve">Low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</si>
</sst>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DEEAF1"/>
        <bgColor rgb="FFF2F2F2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DEEAF1"/>
      </patternFill>
    </fill>
    <fill>
      <patternFill patternType="solid">
        <fgColor rgb="FFFFCCCC"/>
        <bgColor rgb="FFFCE4D6"/>
      </patternFill>
    </fill>
    <fill>
      <patternFill patternType="solid">
        <fgColor rgb="FF375623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595959"/>
        <bgColor rgb="FF37562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CE4D6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60"/>
    <col collapsed="false" customWidth="true" hidden="false" outlineLevel="0" max="4" min="4" style="0" width="20"/>
  </cols>
  <sheetData>
    <row r="1" customFormat="false" ht="15" hidden="false" customHeight="true" outlineLevel="0" collapsed="false"/>
    <row r="2" customFormat="false" ht="49.5" hidden="false" customHeight="true" outlineLevel="0" collapsed="false">
      <c r="B2" s="1" t="s">
        <v>0</v>
      </c>
      <c r="C2" s="1"/>
      <c r="D2" s="1"/>
    </row>
    <row r="3" customFormat="false" ht="15" hidden="false" customHeight="true" outlineLevel="0" collapsed="false">
      <c r="B3" s="2" t="s">
        <v>1</v>
      </c>
      <c r="C3" s="2"/>
      <c r="D3" s="2"/>
    </row>
    <row r="5" customFormat="false" ht="19.5" hidden="false" customHeight="true" outlineLevel="0" collapsed="false">
      <c r="B5" s="3" t="s">
        <v>2</v>
      </c>
      <c r="C5" s="3"/>
      <c r="D5" s="3"/>
    </row>
    <row r="6" customFormat="false" ht="18" hidden="false" customHeight="true" outlineLevel="0" collapsed="false">
      <c r="B6" s="4" t="s">
        <v>3</v>
      </c>
      <c r="C6" s="4" t="s">
        <v>4</v>
      </c>
      <c r="D6" s="4" t="s">
        <v>5</v>
      </c>
    </row>
    <row r="7" customFormat="false" ht="21.75" hidden="false" customHeight="true" outlineLevel="0" collapsed="false">
      <c r="B7" s="5" t="s">
        <v>6</v>
      </c>
      <c r="C7" s="6" t="s">
        <v>7</v>
      </c>
      <c r="D7" s="7"/>
    </row>
    <row r="8" customFormat="false" ht="21.75" hidden="false" customHeight="true" outlineLevel="0" collapsed="false">
      <c r="B8" s="8" t="s">
        <v>8</v>
      </c>
      <c r="C8" s="9" t="s">
        <v>9</v>
      </c>
      <c r="D8" s="10" t="s">
        <v>10</v>
      </c>
    </row>
    <row r="9" customFormat="false" ht="21.75" hidden="false" customHeight="true" outlineLevel="0" collapsed="false">
      <c r="B9" s="5" t="s">
        <v>11</v>
      </c>
      <c r="C9" s="6" t="s">
        <v>12</v>
      </c>
      <c r="D9" s="7" t="s">
        <v>13</v>
      </c>
    </row>
    <row r="10" customFormat="false" ht="21.75" hidden="false" customHeight="true" outlineLevel="0" collapsed="false">
      <c r="B10" s="8" t="s">
        <v>14</v>
      </c>
      <c r="C10" s="9" t="s">
        <v>15</v>
      </c>
      <c r="D10" s="10" t="s">
        <v>16</v>
      </c>
    </row>
    <row r="11" customFormat="false" ht="21.75" hidden="false" customHeight="true" outlineLevel="0" collapsed="false">
      <c r="B11" s="5" t="s">
        <v>17</v>
      </c>
      <c r="C11" s="6" t="s">
        <v>18</v>
      </c>
      <c r="D11" s="7" t="s">
        <v>19</v>
      </c>
    </row>
    <row r="12" customFormat="false" ht="21.75" hidden="false" customHeight="true" outlineLevel="0" collapsed="false">
      <c r="B12" s="8" t="s">
        <v>20</v>
      </c>
      <c r="C12" s="9" t="s">
        <v>21</v>
      </c>
      <c r="D12" s="10" t="s">
        <v>22</v>
      </c>
    </row>
    <row r="14" customFormat="false" ht="19.5" hidden="false" customHeight="true" outlineLevel="0" collapsed="false">
      <c r="B14" s="11" t="s">
        <v>23</v>
      </c>
      <c r="C14" s="11"/>
      <c r="D14" s="11"/>
    </row>
    <row r="15" customFormat="false" ht="30" hidden="false" customHeight="true" outlineLevel="0" collapsed="false">
      <c r="B15" s="12" t="s">
        <v>24</v>
      </c>
      <c r="C15" s="13" t="s">
        <v>25</v>
      </c>
      <c r="D15" s="13"/>
    </row>
    <row r="16" customFormat="false" ht="30" hidden="false" customHeight="true" outlineLevel="0" collapsed="false">
      <c r="B16" s="12" t="s">
        <v>26</v>
      </c>
      <c r="C16" s="13" t="s">
        <v>27</v>
      </c>
      <c r="D16" s="13"/>
    </row>
    <row r="17" customFormat="false" ht="30" hidden="false" customHeight="true" outlineLevel="0" collapsed="false">
      <c r="B17" s="12" t="s">
        <v>28</v>
      </c>
      <c r="C17" s="13" t="s">
        <v>29</v>
      </c>
      <c r="D17" s="13"/>
    </row>
    <row r="18" customFormat="false" ht="30" hidden="false" customHeight="true" outlineLevel="0" collapsed="false">
      <c r="B18" s="12" t="s">
        <v>30</v>
      </c>
      <c r="C18" s="13" t="s">
        <v>31</v>
      </c>
      <c r="D18" s="13"/>
    </row>
    <row r="19" customFormat="false" ht="30" hidden="false" customHeight="true" outlineLevel="0" collapsed="false">
      <c r="B19" s="12" t="s">
        <v>32</v>
      </c>
      <c r="C19" s="13" t="s">
        <v>33</v>
      </c>
      <c r="D19" s="13"/>
    </row>
  </sheetData>
  <mergeCells count="9">
    <mergeCell ref="B2:D2"/>
    <mergeCell ref="B3:D3"/>
    <mergeCell ref="B5:D5"/>
    <mergeCell ref="B14:D14"/>
    <mergeCell ref="C15:D15"/>
    <mergeCell ref="C16:D16"/>
    <mergeCell ref="C17:D17"/>
    <mergeCell ref="C18:D18"/>
    <mergeCell ref="C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7" min="6" style="0" width="15"/>
    <col collapsed="false" customWidth="true" hidden="false" outlineLevel="0" max="8" min="8" style="0" width="20"/>
    <col collapsed="false" customWidth="true" hidden="false" outlineLevel="0" max="9" min="9" style="0" width="25"/>
  </cols>
  <sheetData>
    <row r="2" customFormat="false" ht="34.5" hidden="false" customHeight="true" outlineLevel="0" collapsed="false">
      <c r="B2" s="14" t="s">
        <v>34</v>
      </c>
      <c r="C2" s="14"/>
      <c r="D2" s="14"/>
      <c r="E2" s="14"/>
      <c r="F2" s="14"/>
      <c r="G2" s="14"/>
      <c r="H2" s="14"/>
      <c r="I2" s="14"/>
    </row>
    <row r="3" customFormat="false" ht="15" hidden="false" customHeight="false" outlineLevel="0" collapsed="false">
      <c r="B3" s="15" t="s">
        <v>35</v>
      </c>
      <c r="C3" s="15"/>
      <c r="D3" s="15"/>
      <c r="E3" s="15"/>
      <c r="F3" s="15"/>
      <c r="G3" s="15"/>
      <c r="H3" s="15"/>
      <c r="I3" s="15"/>
    </row>
    <row r="5" customFormat="false" ht="30" hidden="false" customHeight="true" outlineLevel="0" collapsed="false"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</row>
    <row r="6" customFormat="false" ht="21.75" hidden="false" customHeight="true" outlineLevel="0" collapsed="false">
      <c r="B6" s="10" t="n">
        <v>1</v>
      </c>
      <c r="C6" s="9" t="s">
        <v>45</v>
      </c>
      <c r="D6" s="9" t="s">
        <v>46</v>
      </c>
      <c r="E6" s="10" t="s">
        <v>47</v>
      </c>
      <c r="F6" s="10" t="s">
        <v>48</v>
      </c>
      <c r="G6" s="10" t="s">
        <v>49</v>
      </c>
      <c r="H6" s="9" t="s">
        <v>50</v>
      </c>
      <c r="I6" s="9" t="s">
        <v>51</v>
      </c>
      <c r="J6" s="9" t="s">
        <v>52</v>
      </c>
    </row>
    <row r="7" customFormat="false" ht="21.75" hidden="false" customHeight="true" outlineLevel="0" collapsed="false">
      <c r="B7" s="7" t="n">
        <v>2</v>
      </c>
      <c r="C7" s="6" t="s">
        <v>53</v>
      </c>
      <c r="D7" s="6" t="s">
        <v>46</v>
      </c>
      <c r="E7" s="7" t="s">
        <v>54</v>
      </c>
      <c r="F7" s="7" t="s">
        <v>55</v>
      </c>
      <c r="G7" s="7" t="s">
        <v>49</v>
      </c>
      <c r="H7" s="6" t="s">
        <v>50</v>
      </c>
      <c r="I7" s="6" t="s">
        <v>56</v>
      </c>
      <c r="J7" s="6" t="s">
        <v>57</v>
      </c>
    </row>
    <row r="8" customFormat="false" ht="21.75" hidden="false" customHeight="true" outlineLevel="0" collapsed="false">
      <c r="B8" s="10" t="n">
        <v>3</v>
      </c>
      <c r="C8" s="9" t="s">
        <v>58</v>
      </c>
      <c r="D8" s="9" t="s">
        <v>59</v>
      </c>
      <c r="E8" s="10" t="s">
        <v>60</v>
      </c>
      <c r="F8" s="10" t="s">
        <v>61</v>
      </c>
      <c r="G8" s="10" t="s">
        <v>49</v>
      </c>
      <c r="H8" s="9" t="s">
        <v>50</v>
      </c>
      <c r="I8" s="9" t="s">
        <v>62</v>
      </c>
      <c r="J8" s="9" t="s">
        <v>63</v>
      </c>
    </row>
    <row r="9" customFormat="false" ht="21.75" hidden="false" customHeight="true" outlineLevel="0" collapsed="false">
      <c r="B9" s="7" t="n">
        <v>4</v>
      </c>
      <c r="C9" s="6" t="s">
        <v>64</v>
      </c>
      <c r="D9" s="6" t="s">
        <v>65</v>
      </c>
      <c r="E9" s="7" t="s">
        <v>66</v>
      </c>
      <c r="F9" s="7" t="s">
        <v>67</v>
      </c>
      <c r="G9" s="7" t="s">
        <v>49</v>
      </c>
      <c r="H9" s="6" t="s">
        <v>50</v>
      </c>
      <c r="I9" s="6" t="s">
        <v>56</v>
      </c>
      <c r="J9" s="6" t="s">
        <v>68</v>
      </c>
    </row>
    <row r="10" customFormat="false" ht="21.75" hidden="false" customHeight="true" outlineLevel="0" collapsed="false">
      <c r="B10" s="10" t="n">
        <v>5</v>
      </c>
      <c r="C10" s="9" t="s">
        <v>69</v>
      </c>
      <c r="D10" s="9" t="s">
        <v>70</v>
      </c>
      <c r="E10" s="10" t="s">
        <v>71</v>
      </c>
      <c r="F10" s="10" t="s">
        <v>55</v>
      </c>
      <c r="G10" s="10" t="s">
        <v>49</v>
      </c>
      <c r="H10" s="9" t="s">
        <v>50</v>
      </c>
      <c r="I10" s="9" t="s">
        <v>51</v>
      </c>
      <c r="J10" s="9" t="s">
        <v>72</v>
      </c>
    </row>
    <row r="11" customFormat="false" ht="21.75" hidden="false" customHeight="true" outlineLevel="0" collapsed="false">
      <c r="B11" s="7"/>
      <c r="C11" s="6"/>
      <c r="D11" s="6"/>
      <c r="E11" s="7"/>
      <c r="F11" s="7"/>
      <c r="G11" s="7"/>
      <c r="H11" s="6"/>
      <c r="I11" s="6"/>
      <c r="J11" s="6"/>
    </row>
    <row r="12" customFormat="false" ht="21.75" hidden="false" customHeight="true" outlineLevel="0" collapsed="false">
      <c r="B12" s="10"/>
      <c r="C12" s="9"/>
      <c r="D12" s="9"/>
      <c r="E12" s="10"/>
      <c r="F12" s="10"/>
      <c r="G12" s="10"/>
      <c r="H12" s="9"/>
      <c r="I12" s="9"/>
      <c r="J12" s="9"/>
    </row>
    <row r="13" customFormat="false" ht="21.75" hidden="false" customHeight="true" outlineLevel="0" collapsed="false">
      <c r="B13" s="7"/>
      <c r="C13" s="6"/>
      <c r="D13" s="6"/>
      <c r="E13" s="7"/>
      <c r="F13" s="7"/>
      <c r="G13" s="7"/>
      <c r="H13" s="6"/>
      <c r="I13" s="6"/>
      <c r="J13" s="6"/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45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30"/>
  </cols>
  <sheetData>
    <row r="2" customFormat="false" ht="34.5" hidden="false" customHeight="true" outlineLevel="0" collapsed="false">
      <c r="B2" s="14" t="s">
        <v>73</v>
      </c>
      <c r="C2" s="14"/>
      <c r="D2" s="14"/>
      <c r="E2" s="14"/>
      <c r="F2" s="14"/>
    </row>
    <row r="3" customFormat="false" ht="15" hidden="false" customHeight="false" outlineLevel="0" collapsed="false">
      <c r="B3" s="15" t="s">
        <v>74</v>
      </c>
      <c r="C3" s="15"/>
      <c r="D3" s="15"/>
      <c r="E3" s="15"/>
      <c r="F3" s="15"/>
    </row>
    <row r="5" customFormat="false" ht="21.75" hidden="false" customHeight="true" outlineLevel="0" collapsed="false">
      <c r="B5" s="16" t="s">
        <v>75</v>
      </c>
      <c r="C5" s="17"/>
      <c r="D5" s="16" t="s">
        <v>76</v>
      </c>
      <c r="E5" s="17"/>
    </row>
    <row r="6" customFormat="false" ht="21.75" hidden="false" customHeight="true" outlineLevel="0" collapsed="false">
      <c r="B6" s="16" t="s">
        <v>77</v>
      </c>
      <c r="C6" s="17"/>
      <c r="D6" s="16" t="s">
        <v>78</v>
      </c>
      <c r="E6" s="17"/>
    </row>
    <row r="7" customFormat="false" ht="21.75" hidden="false" customHeight="true" outlineLevel="0" collapsed="false">
      <c r="B7" s="16" t="s">
        <v>79</v>
      </c>
      <c r="C7" s="17"/>
      <c r="D7" s="16" t="s">
        <v>80</v>
      </c>
      <c r="E7" s="17"/>
    </row>
    <row r="9" customFormat="false" ht="21.75" hidden="false" customHeight="true" outlineLevel="0" collapsed="false">
      <c r="B9" s="18" t="s">
        <v>81</v>
      </c>
      <c r="C9" s="18"/>
      <c r="D9" s="18"/>
      <c r="E9" s="18"/>
      <c r="F9" s="18"/>
    </row>
    <row r="10" customFormat="false" ht="18" hidden="false" customHeight="true" outlineLevel="0" collapsed="false">
      <c r="B10" s="19" t="s">
        <v>82</v>
      </c>
      <c r="C10" s="19" t="s">
        <v>83</v>
      </c>
      <c r="D10" s="19" t="s">
        <v>84</v>
      </c>
      <c r="E10" s="19" t="s">
        <v>41</v>
      </c>
      <c r="F10" s="19" t="s">
        <v>44</v>
      </c>
    </row>
    <row r="11" customFormat="false" ht="24" hidden="false" customHeight="true" outlineLevel="0" collapsed="false">
      <c r="B11" s="20" t="s">
        <v>85</v>
      </c>
      <c r="C11" s="21" t="s">
        <v>86</v>
      </c>
      <c r="D11" s="22" t="s">
        <v>87</v>
      </c>
      <c r="E11" s="20"/>
      <c r="F11" s="21"/>
    </row>
    <row r="12" customFormat="false" ht="24" hidden="false" customHeight="true" outlineLevel="0" collapsed="false">
      <c r="B12" s="7" t="s">
        <v>88</v>
      </c>
      <c r="C12" s="6" t="s">
        <v>89</v>
      </c>
      <c r="D12" s="22" t="s">
        <v>87</v>
      </c>
      <c r="E12" s="7"/>
      <c r="F12" s="6"/>
    </row>
    <row r="13" customFormat="false" ht="24" hidden="false" customHeight="true" outlineLevel="0" collapsed="false">
      <c r="B13" s="20" t="s">
        <v>90</v>
      </c>
      <c r="C13" s="21" t="s">
        <v>91</v>
      </c>
      <c r="D13" s="22" t="s">
        <v>87</v>
      </c>
      <c r="E13" s="20"/>
      <c r="F13" s="21"/>
    </row>
    <row r="14" customFormat="false" ht="24" hidden="false" customHeight="true" outlineLevel="0" collapsed="false">
      <c r="B14" s="7" t="s">
        <v>92</v>
      </c>
      <c r="C14" s="6" t="s">
        <v>93</v>
      </c>
      <c r="D14" s="23" t="s">
        <v>94</v>
      </c>
      <c r="E14" s="7"/>
      <c r="F14" s="6"/>
    </row>
    <row r="16" customFormat="false" ht="21.75" hidden="false" customHeight="true" outlineLevel="0" collapsed="false">
      <c r="B16" s="24" t="s">
        <v>95</v>
      </c>
      <c r="C16" s="24"/>
      <c r="D16" s="24"/>
      <c r="E16" s="24"/>
      <c r="F16" s="24"/>
    </row>
    <row r="17" customFormat="false" ht="18" hidden="false" customHeight="true" outlineLevel="0" collapsed="false">
      <c r="B17" s="19" t="s">
        <v>82</v>
      </c>
      <c r="C17" s="19" t="s">
        <v>83</v>
      </c>
      <c r="D17" s="19" t="s">
        <v>84</v>
      </c>
      <c r="E17" s="19" t="s">
        <v>41</v>
      </c>
      <c r="F17" s="19" t="s">
        <v>44</v>
      </c>
    </row>
    <row r="18" customFormat="false" ht="24" hidden="false" customHeight="true" outlineLevel="0" collapsed="false">
      <c r="B18" s="7" t="s">
        <v>96</v>
      </c>
      <c r="C18" s="6" t="s">
        <v>97</v>
      </c>
      <c r="D18" s="22" t="s">
        <v>87</v>
      </c>
      <c r="E18" s="7"/>
      <c r="F18" s="6"/>
    </row>
    <row r="19" customFormat="false" ht="24" hidden="false" customHeight="true" outlineLevel="0" collapsed="false">
      <c r="B19" s="20" t="s">
        <v>98</v>
      </c>
      <c r="C19" s="21" t="s">
        <v>99</v>
      </c>
      <c r="D19" s="23" t="s">
        <v>94</v>
      </c>
      <c r="E19" s="20"/>
      <c r="F19" s="21"/>
    </row>
    <row r="20" customFormat="false" ht="24" hidden="false" customHeight="true" outlineLevel="0" collapsed="false">
      <c r="B20" s="7" t="s">
        <v>100</v>
      </c>
      <c r="C20" s="6" t="s">
        <v>101</v>
      </c>
      <c r="D20" s="23" t="s">
        <v>94</v>
      </c>
      <c r="E20" s="7"/>
      <c r="F20" s="6"/>
    </row>
    <row r="21" customFormat="false" ht="24" hidden="false" customHeight="true" outlineLevel="0" collapsed="false">
      <c r="B21" s="20" t="s">
        <v>102</v>
      </c>
      <c r="C21" s="21" t="s">
        <v>103</v>
      </c>
      <c r="D21" s="20" t="s">
        <v>104</v>
      </c>
      <c r="E21" s="20"/>
      <c r="F21" s="21"/>
    </row>
    <row r="22" customFormat="false" ht="24" hidden="false" customHeight="true" outlineLevel="0" collapsed="false">
      <c r="B22" s="7" t="s">
        <v>105</v>
      </c>
      <c r="C22" s="6" t="s">
        <v>106</v>
      </c>
      <c r="D22" s="7" t="s">
        <v>104</v>
      </c>
      <c r="E22" s="7"/>
      <c r="F22" s="6"/>
    </row>
    <row r="24" customFormat="false" ht="21.75" hidden="false" customHeight="true" outlineLevel="0" collapsed="false">
      <c r="B24" s="25" t="s">
        <v>107</v>
      </c>
      <c r="C24" s="25"/>
      <c r="D24" s="25"/>
      <c r="E24" s="25"/>
      <c r="F24" s="25"/>
    </row>
    <row r="25" customFormat="false" ht="18" hidden="false" customHeight="true" outlineLevel="0" collapsed="false">
      <c r="B25" s="19" t="s">
        <v>82</v>
      </c>
      <c r="C25" s="19" t="s">
        <v>83</v>
      </c>
      <c r="D25" s="19" t="s">
        <v>84</v>
      </c>
      <c r="E25" s="19" t="s">
        <v>41</v>
      </c>
      <c r="F25" s="19" t="s">
        <v>44</v>
      </c>
    </row>
    <row r="26" customFormat="false" ht="24" hidden="false" customHeight="true" outlineLevel="0" collapsed="false">
      <c r="B26" s="7" t="s">
        <v>108</v>
      </c>
      <c r="C26" s="6" t="s">
        <v>109</v>
      </c>
      <c r="D26" s="22" t="s">
        <v>87</v>
      </c>
      <c r="E26" s="7"/>
      <c r="F26" s="6"/>
    </row>
    <row r="27" customFormat="false" ht="24" hidden="false" customHeight="true" outlineLevel="0" collapsed="false">
      <c r="B27" s="20" t="s">
        <v>110</v>
      </c>
      <c r="C27" s="21" t="s">
        <v>111</v>
      </c>
      <c r="D27" s="22" t="s">
        <v>87</v>
      </c>
      <c r="E27" s="20"/>
      <c r="F27" s="21"/>
    </row>
    <row r="28" customFormat="false" ht="24" hidden="false" customHeight="true" outlineLevel="0" collapsed="false">
      <c r="B28" s="7" t="s">
        <v>112</v>
      </c>
      <c r="C28" s="6" t="s">
        <v>113</v>
      </c>
      <c r="D28" s="22" t="s">
        <v>87</v>
      </c>
      <c r="E28" s="7"/>
      <c r="F28" s="6"/>
    </row>
    <row r="29" customFormat="false" ht="24" hidden="false" customHeight="true" outlineLevel="0" collapsed="false">
      <c r="B29" s="20" t="s">
        <v>114</v>
      </c>
      <c r="C29" s="21" t="s">
        <v>115</v>
      </c>
      <c r="D29" s="22" t="s">
        <v>87</v>
      </c>
      <c r="E29" s="20"/>
      <c r="F29" s="21"/>
    </row>
    <row r="30" customFormat="false" ht="24" hidden="false" customHeight="true" outlineLevel="0" collapsed="false">
      <c r="B30" s="7" t="s">
        <v>116</v>
      </c>
      <c r="C30" s="6" t="s">
        <v>117</v>
      </c>
      <c r="D30" s="23" t="s">
        <v>94</v>
      </c>
      <c r="E30" s="7"/>
      <c r="F30" s="6"/>
    </row>
    <row r="32" customFormat="false" ht="21.75" hidden="false" customHeight="true" outlineLevel="0" collapsed="false">
      <c r="B32" s="26" t="s">
        <v>118</v>
      </c>
      <c r="C32" s="26"/>
      <c r="D32" s="26"/>
      <c r="E32" s="26"/>
      <c r="F32" s="26"/>
    </row>
    <row r="33" customFormat="false" ht="18" hidden="false" customHeight="true" outlineLevel="0" collapsed="false">
      <c r="B33" s="19" t="s">
        <v>82</v>
      </c>
      <c r="C33" s="19" t="s">
        <v>83</v>
      </c>
      <c r="D33" s="19" t="s">
        <v>84</v>
      </c>
      <c r="E33" s="19" t="s">
        <v>41</v>
      </c>
      <c r="F33" s="19" t="s">
        <v>44</v>
      </c>
    </row>
    <row r="34" customFormat="false" ht="24" hidden="false" customHeight="true" outlineLevel="0" collapsed="false">
      <c r="B34" s="7" t="s">
        <v>119</v>
      </c>
      <c r="C34" s="6" t="s">
        <v>120</v>
      </c>
      <c r="D34" s="22" t="s">
        <v>87</v>
      </c>
      <c r="E34" s="7"/>
      <c r="F34" s="6"/>
    </row>
    <row r="35" customFormat="false" ht="24" hidden="false" customHeight="true" outlineLevel="0" collapsed="false">
      <c r="B35" s="20" t="s">
        <v>121</v>
      </c>
      <c r="C35" s="21" t="s">
        <v>122</v>
      </c>
      <c r="D35" s="23" t="s">
        <v>94</v>
      </c>
      <c r="E35" s="20"/>
      <c r="F35" s="21"/>
    </row>
    <row r="36" customFormat="false" ht="24" hidden="false" customHeight="true" outlineLevel="0" collapsed="false">
      <c r="B36" s="7" t="s">
        <v>123</v>
      </c>
      <c r="C36" s="6" t="s">
        <v>124</v>
      </c>
      <c r="D36" s="23" t="s">
        <v>94</v>
      </c>
      <c r="E36" s="7"/>
      <c r="F36" s="6"/>
    </row>
    <row r="37" customFormat="false" ht="24" hidden="false" customHeight="true" outlineLevel="0" collapsed="false">
      <c r="B37" s="20" t="s">
        <v>125</v>
      </c>
      <c r="C37" s="21" t="s">
        <v>126</v>
      </c>
      <c r="D37" s="22" t="s">
        <v>87</v>
      </c>
      <c r="E37" s="20"/>
      <c r="F37" s="21"/>
    </row>
    <row r="39" customFormat="false" ht="21.75" hidden="false" customHeight="true" outlineLevel="0" collapsed="false">
      <c r="B39" s="27" t="s">
        <v>127</v>
      </c>
      <c r="C39" s="27"/>
      <c r="D39" s="27"/>
      <c r="E39" s="27"/>
      <c r="F39" s="27"/>
    </row>
    <row r="40" customFormat="false" ht="18" hidden="false" customHeight="true" outlineLevel="0" collapsed="false">
      <c r="B40" s="19" t="s">
        <v>82</v>
      </c>
      <c r="C40" s="19" t="s">
        <v>83</v>
      </c>
      <c r="D40" s="19" t="s">
        <v>84</v>
      </c>
      <c r="E40" s="19" t="s">
        <v>41</v>
      </c>
      <c r="F40" s="19" t="s">
        <v>44</v>
      </c>
    </row>
    <row r="41" customFormat="false" ht="24" hidden="false" customHeight="true" outlineLevel="0" collapsed="false">
      <c r="B41" s="20" t="s">
        <v>128</v>
      </c>
      <c r="C41" s="21" t="s">
        <v>129</v>
      </c>
      <c r="D41" s="20" t="s">
        <v>104</v>
      </c>
      <c r="E41" s="20"/>
      <c r="F41" s="21"/>
    </row>
    <row r="42" customFormat="false" ht="24" hidden="false" customHeight="true" outlineLevel="0" collapsed="false">
      <c r="B42" s="7" t="s">
        <v>130</v>
      </c>
      <c r="C42" s="6" t="s">
        <v>131</v>
      </c>
      <c r="D42" s="22" t="s">
        <v>87</v>
      </c>
      <c r="E42" s="7"/>
      <c r="F42" s="6"/>
    </row>
    <row r="43" customFormat="false" ht="24" hidden="false" customHeight="true" outlineLevel="0" collapsed="false">
      <c r="B43" s="20" t="s">
        <v>132</v>
      </c>
      <c r="C43" s="21" t="s">
        <v>133</v>
      </c>
      <c r="D43" s="22" t="s">
        <v>87</v>
      </c>
      <c r="E43" s="20"/>
      <c r="F43" s="21"/>
    </row>
    <row r="44" customFormat="false" ht="24" hidden="false" customHeight="true" outlineLevel="0" collapsed="false">
      <c r="B44" s="7" t="s">
        <v>134</v>
      </c>
      <c r="C44" s="6" t="s">
        <v>135</v>
      </c>
      <c r="D44" s="23" t="s">
        <v>94</v>
      </c>
      <c r="E44" s="7"/>
      <c r="F44" s="6"/>
    </row>
    <row r="46" customFormat="false" ht="21.75" hidden="false" customHeight="true" outlineLevel="0" collapsed="false">
      <c r="B46" s="28" t="s">
        <v>136</v>
      </c>
      <c r="C46" s="28"/>
      <c r="D46" s="28"/>
      <c r="E46" s="28"/>
      <c r="F46" s="28"/>
    </row>
    <row r="47" customFormat="false" ht="18" hidden="false" customHeight="true" outlineLevel="0" collapsed="false">
      <c r="B47" s="19" t="s">
        <v>82</v>
      </c>
      <c r="C47" s="19" t="s">
        <v>83</v>
      </c>
      <c r="D47" s="19" t="s">
        <v>84</v>
      </c>
      <c r="E47" s="19" t="s">
        <v>41</v>
      </c>
      <c r="F47" s="19" t="s">
        <v>44</v>
      </c>
    </row>
    <row r="48" customFormat="false" ht="24" hidden="false" customHeight="true" outlineLevel="0" collapsed="false">
      <c r="B48" s="7" t="s">
        <v>137</v>
      </c>
      <c r="C48" s="6" t="s">
        <v>138</v>
      </c>
      <c r="D48" s="22" t="s">
        <v>87</v>
      </c>
      <c r="E48" s="7"/>
      <c r="F48" s="6"/>
    </row>
    <row r="49" customFormat="false" ht="24" hidden="false" customHeight="true" outlineLevel="0" collapsed="false">
      <c r="B49" s="20" t="s">
        <v>139</v>
      </c>
      <c r="C49" s="21" t="s">
        <v>140</v>
      </c>
      <c r="D49" s="22" t="s">
        <v>87</v>
      </c>
      <c r="E49" s="20"/>
      <c r="F49" s="21"/>
    </row>
    <row r="50" customFormat="false" ht="24" hidden="false" customHeight="true" outlineLevel="0" collapsed="false">
      <c r="B50" s="7" t="s">
        <v>141</v>
      </c>
      <c r="C50" s="6" t="s">
        <v>142</v>
      </c>
      <c r="D50" s="23" t="s">
        <v>94</v>
      </c>
      <c r="E50" s="7"/>
      <c r="F50" s="6"/>
    </row>
    <row r="51" customFormat="false" ht="24" hidden="false" customHeight="true" outlineLevel="0" collapsed="false">
      <c r="B51" s="20" t="s">
        <v>143</v>
      </c>
      <c r="C51" s="21" t="s">
        <v>144</v>
      </c>
      <c r="D51" s="22" t="s">
        <v>87</v>
      </c>
      <c r="E51" s="20"/>
      <c r="F51" s="21"/>
    </row>
  </sheetData>
  <mergeCells count="8">
    <mergeCell ref="B2:F2"/>
    <mergeCell ref="B3:F3"/>
    <mergeCell ref="B9:F9"/>
    <mergeCell ref="B16:F16"/>
    <mergeCell ref="B24:F24"/>
    <mergeCell ref="B32:F32"/>
    <mergeCell ref="B39:F39"/>
    <mergeCell ref="B46:F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5" min="3" style="0" width="35"/>
    <col collapsed="false" customWidth="true" hidden="false" outlineLevel="0" max="7" min="6" style="0" width="15"/>
    <col collapsed="false" customWidth="true" hidden="false" outlineLevel="0" max="8" min="8" style="0" width="20"/>
  </cols>
  <sheetData>
    <row r="2" customFormat="false" ht="34.5" hidden="false" customHeight="true" outlineLevel="0" collapsed="false">
      <c r="B2" s="14" t="s">
        <v>145</v>
      </c>
      <c r="C2" s="14"/>
      <c r="D2" s="14"/>
      <c r="E2" s="14"/>
      <c r="F2" s="14"/>
      <c r="G2" s="14"/>
      <c r="H2" s="14"/>
    </row>
    <row r="4" customFormat="false" ht="21.75" hidden="false" customHeight="true" outlineLevel="0" collapsed="false">
      <c r="B4" s="29" t="s">
        <v>146</v>
      </c>
      <c r="C4" s="29"/>
      <c r="D4" s="29"/>
      <c r="E4" s="29"/>
      <c r="F4" s="29"/>
      <c r="G4" s="29"/>
      <c r="H4" s="29"/>
    </row>
    <row r="5" customFormat="false" ht="18" hidden="false" customHeight="true" outlineLevel="0" collapsed="false">
      <c r="B5" s="30" t="s">
        <v>82</v>
      </c>
      <c r="C5" s="30" t="s">
        <v>147</v>
      </c>
      <c r="D5" s="30" t="s">
        <v>148</v>
      </c>
      <c r="E5" s="30" t="s">
        <v>149</v>
      </c>
      <c r="F5" s="30" t="s">
        <v>41</v>
      </c>
      <c r="G5" s="30" t="s">
        <v>150</v>
      </c>
      <c r="H5" s="30" t="s">
        <v>44</v>
      </c>
    </row>
    <row r="6" customFormat="false" ht="34.5" hidden="false" customHeight="true" outlineLevel="0" collapsed="false">
      <c r="B6" s="7" t="s">
        <v>151</v>
      </c>
      <c r="C6" s="6" t="s">
        <v>152</v>
      </c>
      <c r="D6" s="6" t="s">
        <v>153</v>
      </c>
      <c r="E6" s="6" t="s">
        <v>154</v>
      </c>
      <c r="F6" s="7"/>
      <c r="G6" s="7"/>
      <c r="H6" s="6"/>
    </row>
    <row r="7" customFormat="false" ht="34.5" hidden="false" customHeight="true" outlineLevel="0" collapsed="false">
      <c r="B7" s="20" t="s">
        <v>155</v>
      </c>
      <c r="C7" s="21" t="s">
        <v>156</v>
      </c>
      <c r="D7" s="21" t="s">
        <v>157</v>
      </c>
      <c r="E7" s="21" t="s">
        <v>158</v>
      </c>
      <c r="F7" s="20"/>
      <c r="G7" s="20"/>
      <c r="H7" s="21"/>
    </row>
    <row r="8" customFormat="false" ht="34.5" hidden="false" customHeight="true" outlineLevel="0" collapsed="false">
      <c r="B8" s="7" t="s">
        <v>159</v>
      </c>
      <c r="C8" s="6" t="s">
        <v>160</v>
      </c>
      <c r="D8" s="6" t="s">
        <v>161</v>
      </c>
      <c r="E8" s="6" t="s">
        <v>162</v>
      </c>
      <c r="F8" s="7"/>
      <c r="G8" s="7"/>
      <c r="H8" s="6"/>
    </row>
    <row r="9" customFormat="false" ht="34.5" hidden="false" customHeight="true" outlineLevel="0" collapsed="false">
      <c r="B9" s="20" t="s">
        <v>163</v>
      </c>
      <c r="C9" s="21" t="s">
        <v>164</v>
      </c>
      <c r="D9" s="21" t="s">
        <v>165</v>
      </c>
      <c r="E9" s="21" t="s">
        <v>166</v>
      </c>
      <c r="F9" s="20"/>
      <c r="G9" s="20"/>
      <c r="H9" s="21"/>
    </row>
    <row r="10" customFormat="false" ht="34.5" hidden="false" customHeight="true" outlineLevel="0" collapsed="false">
      <c r="B10" s="7" t="s">
        <v>167</v>
      </c>
      <c r="C10" s="6" t="s">
        <v>168</v>
      </c>
      <c r="D10" s="6" t="s">
        <v>169</v>
      </c>
      <c r="E10" s="6" t="s">
        <v>170</v>
      </c>
      <c r="F10" s="7"/>
      <c r="G10" s="7"/>
      <c r="H10" s="6"/>
    </row>
    <row r="11" customFormat="false" ht="34.5" hidden="false" customHeight="true" outlineLevel="0" collapsed="false">
      <c r="B11" s="20" t="s">
        <v>171</v>
      </c>
      <c r="C11" s="21" t="s">
        <v>172</v>
      </c>
      <c r="D11" s="21" t="s">
        <v>173</v>
      </c>
      <c r="E11" s="21" t="s">
        <v>174</v>
      </c>
      <c r="F11" s="20"/>
      <c r="G11" s="20"/>
      <c r="H11" s="21"/>
    </row>
    <row r="13" customFormat="false" ht="21.75" hidden="false" customHeight="true" outlineLevel="0" collapsed="false">
      <c r="B13" s="31" t="s">
        <v>175</v>
      </c>
      <c r="C13" s="31"/>
      <c r="D13" s="31"/>
      <c r="E13" s="31"/>
      <c r="F13" s="31"/>
      <c r="G13" s="31"/>
      <c r="H13" s="31"/>
    </row>
    <row r="14" customFormat="false" ht="18" hidden="false" customHeight="true" outlineLevel="0" collapsed="false">
      <c r="B14" s="30" t="s">
        <v>82</v>
      </c>
      <c r="C14" s="30" t="s">
        <v>147</v>
      </c>
      <c r="D14" s="30" t="s">
        <v>148</v>
      </c>
      <c r="E14" s="30" t="s">
        <v>149</v>
      </c>
      <c r="F14" s="30" t="s">
        <v>41</v>
      </c>
      <c r="G14" s="30" t="s">
        <v>150</v>
      </c>
      <c r="H14" s="30" t="s">
        <v>44</v>
      </c>
    </row>
    <row r="15" customFormat="false" ht="34.5" hidden="false" customHeight="true" outlineLevel="0" collapsed="false">
      <c r="B15" s="20" t="s">
        <v>176</v>
      </c>
      <c r="C15" s="21" t="s">
        <v>177</v>
      </c>
      <c r="D15" s="21" t="s">
        <v>178</v>
      </c>
      <c r="E15" s="21" t="s">
        <v>179</v>
      </c>
      <c r="F15" s="20"/>
      <c r="G15" s="20"/>
      <c r="H15" s="21"/>
    </row>
    <row r="16" customFormat="false" ht="34.5" hidden="false" customHeight="true" outlineLevel="0" collapsed="false">
      <c r="B16" s="7" t="s">
        <v>180</v>
      </c>
      <c r="C16" s="6" t="s">
        <v>181</v>
      </c>
      <c r="D16" s="6" t="s">
        <v>182</v>
      </c>
      <c r="E16" s="6" t="s">
        <v>183</v>
      </c>
      <c r="F16" s="7"/>
      <c r="G16" s="7"/>
      <c r="H16" s="6"/>
    </row>
    <row r="17" customFormat="false" ht="34.5" hidden="false" customHeight="true" outlineLevel="0" collapsed="false">
      <c r="B17" s="20" t="s">
        <v>184</v>
      </c>
      <c r="C17" s="21" t="s">
        <v>185</v>
      </c>
      <c r="D17" s="21" t="s">
        <v>186</v>
      </c>
      <c r="E17" s="21" t="s">
        <v>187</v>
      </c>
      <c r="F17" s="20"/>
      <c r="G17" s="20"/>
      <c r="H17" s="21"/>
    </row>
    <row r="18" customFormat="false" ht="34.5" hidden="false" customHeight="true" outlineLevel="0" collapsed="false">
      <c r="B18" s="7" t="s">
        <v>188</v>
      </c>
      <c r="C18" s="6" t="s">
        <v>189</v>
      </c>
      <c r="D18" s="6" t="s">
        <v>190</v>
      </c>
      <c r="E18" s="6" t="s">
        <v>191</v>
      </c>
      <c r="F18" s="7"/>
      <c r="G18" s="7"/>
      <c r="H18" s="6"/>
    </row>
    <row r="19" customFormat="false" ht="34.5" hidden="false" customHeight="true" outlineLevel="0" collapsed="false">
      <c r="B19" s="20" t="s">
        <v>192</v>
      </c>
      <c r="C19" s="21" t="s">
        <v>193</v>
      </c>
      <c r="D19" s="21" t="s">
        <v>194</v>
      </c>
      <c r="E19" s="21" t="s">
        <v>195</v>
      </c>
      <c r="F19" s="20"/>
      <c r="G19" s="20"/>
      <c r="H19" s="21"/>
    </row>
    <row r="20" customFormat="false" ht="34.5" hidden="false" customHeight="true" outlineLevel="0" collapsed="false">
      <c r="B20" s="7" t="s">
        <v>196</v>
      </c>
      <c r="C20" s="6" t="s">
        <v>197</v>
      </c>
      <c r="D20" s="6" t="s">
        <v>198</v>
      </c>
      <c r="E20" s="6" t="s">
        <v>199</v>
      </c>
      <c r="F20" s="7"/>
      <c r="G20" s="7"/>
      <c r="H20" s="6"/>
    </row>
    <row r="22" customFormat="false" ht="21.75" hidden="false" customHeight="true" outlineLevel="0" collapsed="false">
      <c r="B22" s="32" t="s">
        <v>200</v>
      </c>
      <c r="C22" s="32"/>
      <c r="D22" s="32"/>
      <c r="E22" s="32"/>
      <c r="F22" s="32"/>
      <c r="G22" s="32"/>
      <c r="H22" s="32"/>
    </row>
    <row r="23" customFormat="false" ht="18" hidden="false" customHeight="true" outlineLevel="0" collapsed="false">
      <c r="B23" s="30" t="s">
        <v>82</v>
      </c>
      <c r="C23" s="30" t="s">
        <v>147</v>
      </c>
      <c r="D23" s="30" t="s">
        <v>148</v>
      </c>
      <c r="E23" s="30" t="s">
        <v>149</v>
      </c>
      <c r="F23" s="30" t="s">
        <v>41</v>
      </c>
      <c r="G23" s="30" t="s">
        <v>150</v>
      </c>
      <c r="H23" s="30" t="s">
        <v>44</v>
      </c>
    </row>
    <row r="24" customFormat="false" ht="34.5" hidden="false" customHeight="true" outlineLevel="0" collapsed="false">
      <c r="B24" s="7" t="s">
        <v>201</v>
      </c>
      <c r="C24" s="6" t="s">
        <v>202</v>
      </c>
      <c r="D24" s="6" t="s">
        <v>203</v>
      </c>
      <c r="E24" s="6" t="s">
        <v>204</v>
      </c>
      <c r="F24" s="7"/>
      <c r="G24" s="7"/>
      <c r="H24" s="6"/>
    </row>
    <row r="25" customFormat="false" ht="34.5" hidden="false" customHeight="true" outlineLevel="0" collapsed="false">
      <c r="B25" s="20" t="s">
        <v>205</v>
      </c>
      <c r="C25" s="21" t="s">
        <v>206</v>
      </c>
      <c r="D25" s="21" t="s">
        <v>207</v>
      </c>
      <c r="E25" s="21" t="s">
        <v>208</v>
      </c>
      <c r="F25" s="20"/>
      <c r="G25" s="20"/>
      <c r="H25" s="21"/>
    </row>
    <row r="26" customFormat="false" ht="34.5" hidden="false" customHeight="true" outlineLevel="0" collapsed="false">
      <c r="B26" s="7" t="s">
        <v>209</v>
      </c>
      <c r="C26" s="6" t="s">
        <v>210</v>
      </c>
      <c r="D26" s="6" t="s">
        <v>211</v>
      </c>
      <c r="E26" s="6" t="s">
        <v>212</v>
      </c>
      <c r="F26" s="7"/>
      <c r="G26" s="7"/>
      <c r="H26" s="6"/>
    </row>
    <row r="27" customFormat="false" ht="34.5" hidden="false" customHeight="true" outlineLevel="0" collapsed="false">
      <c r="B27" s="20" t="s">
        <v>213</v>
      </c>
      <c r="C27" s="21" t="s">
        <v>214</v>
      </c>
      <c r="D27" s="21" t="s">
        <v>215</v>
      </c>
      <c r="E27" s="21" t="s">
        <v>216</v>
      </c>
      <c r="F27" s="20"/>
      <c r="G27" s="20"/>
      <c r="H27" s="21"/>
    </row>
    <row r="29" customFormat="false" ht="21.75" hidden="false" customHeight="true" outlineLevel="0" collapsed="false">
      <c r="B29" s="33" t="s">
        <v>217</v>
      </c>
      <c r="C29" s="33"/>
      <c r="D29" s="33"/>
      <c r="E29" s="33"/>
      <c r="F29" s="33"/>
      <c r="G29" s="33"/>
      <c r="H29" s="33"/>
    </row>
    <row r="30" customFormat="false" ht="18" hidden="false" customHeight="true" outlineLevel="0" collapsed="false">
      <c r="B30" s="30" t="s">
        <v>82</v>
      </c>
      <c r="C30" s="30" t="s">
        <v>147</v>
      </c>
      <c r="D30" s="30" t="s">
        <v>148</v>
      </c>
      <c r="E30" s="30" t="s">
        <v>149</v>
      </c>
      <c r="F30" s="30" t="s">
        <v>41</v>
      </c>
      <c r="G30" s="30" t="s">
        <v>150</v>
      </c>
      <c r="H30" s="30" t="s">
        <v>44</v>
      </c>
    </row>
    <row r="31" customFormat="false" ht="34.5" hidden="false" customHeight="true" outlineLevel="0" collapsed="false">
      <c r="B31" s="20" t="s">
        <v>218</v>
      </c>
      <c r="C31" s="21" t="s">
        <v>219</v>
      </c>
      <c r="D31" s="21" t="s">
        <v>220</v>
      </c>
      <c r="E31" s="21" t="s">
        <v>221</v>
      </c>
      <c r="F31" s="20"/>
      <c r="G31" s="20"/>
      <c r="H31" s="21"/>
    </row>
    <row r="32" customFormat="false" ht="34.5" hidden="false" customHeight="true" outlineLevel="0" collapsed="false">
      <c r="B32" s="7" t="s">
        <v>222</v>
      </c>
      <c r="C32" s="6" t="s">
        <v>223</v>
      </c>
      <c r="D32" s="6" t="s">
        <v>224</v>
      </c>
      <c r="E32" s="6" t="s">
        <v>225</v>
      </c>
      <c r="F32" s="7"/>
      <c r="G32" s="7"/>
      <c r="H32" s="6"/>
    </row>
    <row r="33" customFormat="false" ht="34.5" hidden="false" customHeight="true" outlineLevel="0" collapsed="false">
      <c r="B33" s="20" t="s">
        <v>226</v>
      </c>
      <c r="C33" s="21" t="s">
        <v>227</v>
      </c>
      <c r="D33" s="21" t="s">
        <v>228</v>
      </c>
      <c r="E33" s="21" t="s">
        <v>229</v>
      </c>
      <c r="F33" s="20"/>
      <c r="G33" s="20"/>
      <c r="H33" s="21"/>
    </row>
    <row r="34" customFormat="false" ht="34.5" hidden="false" customHeight="true" outlineLevel="0" collapsed="false">
      <c r="B34" s="7" t="s">
        <v>230</v>
      </c>
      <c r="C34" s="6" t="s">
        <v>231</v>
      </c>
      <c r="D34" s="6" t="s">
        <v>232</v>
      </c>
      <c r="E34" s="6" t="s">
        <v>233</v>
      </c>
      <c r="F34" s="7"/>
      <c r="G34" s="7"/>
      <c r="H34" s="6"/>
    </row>
  </sheetData>
  <mergeCells count="5">
    <mergeCell ref="B2:H2"/>
    <mergeCell ref="B4:H4"/>
    <mergeCell ref="B13:H13"/>
    <mergeCell ref="B22:H22"/>
    <mergeCell ref="B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6" min="5" style="0" width="12"/>
    <col collapsed="false" customWidth="true" hidden="false" outlineLevel="0" max="8" min="7" style="0" width="35"/>
    <col collapsed="false" customWidth="true" hidden="false" outlineLevel="0" max="9" min="9" style="0" width="20"/>
    <col collapsed="false" customWidth="true" hidden="false" outlineLevel="0" max="10" min="10" style="0" width="15"/>
  </cols>
  <sheetData>
    <row r="2" customFormat="false" ht="34.5" hidden="false" customHeight="true" outlineLevel="0" collapsed="false">
      <c r="B2" s="14" t="s">
        <v>234</v>
      </c>
      <c r="C2" s="14"/>
      <c r="D2" s="14"/>
      <c r="E2" s="14"/>
      <c r="F2" s="14"/>
      <c r="G2" s="14"/>
      <c r="H2" s="14"/>
      <c r="I2" s="14"/>
      <c r="J2" s="14"/>
    </row>
    <row r="4" customFormat="false" ht="30" hidden="false" customHeight="true" outlineLevel="0" collapsed="false">
      <c r="B4" s="4" t="s">
        <v>82</v>
      </c>
      <c r="C4" s="4" t="s">
        <v>37</v>
      </c>
      <c r="D4" s="4" t="s">
        <v>235</v>
      </c>
      <c r="E4" s="4" t="s">
        <v>236</v>
      </c>
      <c r="F4" s="4" t="s">
        <v>237</v>
      </c>
      <c r="G4" s="4" t="s">
        <v>238</v>
      </c>
      <c r="H4" s="4" t="s">
        <v>239</v>
      </c>
      <c r="I4" s="4" t="s">
        <v>41</v>
      </c>
      <c r="J4" s="4" t="s">
        <v>240</v>
      </c>
    </row>
    <row r="5" customFormat="false" ht="49.5" hidden="false" customHeight="true" outlineLevel="0" collapsed="false">
      <c r="B5" s="20" t="s">
        <v>241</v>
      </c>
      <c r="C5" s="21" t="s">
        <v>45</v>
      </c>
      <c r="D5" s="21" t="s">
        <v>242</v>
      </c>
      <c r="E5" s="22" t="s">
        <v>243</v>
      </c>
      <c r="F5" s="20" t="s">
        <v>244</v>
      </c>
      <c r="G5" s="21" t="s">
        <v>245</v>
      </c>
      <c r="H5" s="21" t="s">
        <v>246</v>
      </c>
      <c r="I5" s="20" t="s">
        <v>247</v>
      </c>
      <c r="J5" s="20" t="s">
        <v>248</v>
      </c>
    </row>
    <row r="6" customFormat="false" ht="49.5" hidden="false" customHeight="true" outlineLevel="0" collapsed="false">
      <c r="B6" s="7" t="s">
        <v>249</v>
      </c>
      <c r="C6" s="6" t="s">
        <v>58</v>
      </c>
      <c r="D6" s="6" t="s">
        <v>250</v>
      </c>
      <c r="E6" s="23" t="s">
        <v>251</v>
      </c>
      <c r="F6" s="7" t="s">
        <v>252</v>
      </c>
      <c r="G6" s="6" t="s">
        <v>253</v>
      </c>
      <c r="H6" s="6" t="s">
        <v>254</v>
      </c>
      <c r="I6" s="7" t="s">
        <v>255</v>
      </c>
      <c r="J6" s="7" t="s">
        <v>256</v>
      </c>
    </row>
    <row r="7" customFormat="false" ht="49.5" hidden="false" customHeight="true" outlineLevel="0" collapsed="false">
      <c r="B7" s="20" t="s">
        <v>257</v>
      </c>
      <c r="C7" s="21" t="s">
        <v>64</v>
      </c>
      <c r="D7" s="21" t="s">
        <v>258</v>
      </c>
      <c r="E7" s="22" t="s">
        <v>243</v>
      </c>
      <c r="F7" s="20" t="s">
        <v>244</v>
      </c>
      <c r="G7" s="21" t="s">
        <v>259</v>
      </c>
      <c r="H7" s="21" t="s">
        <v>260</v>
      </c>
      <c r="I7" s="20" t="s">
        <v>247</v>
      </c>
      <c r="J7" s="20" t="s">
        <v>261</v>
      </c>
    </row>
    <row r="8" customFormat="false" ht="34.5" hidden="false" customHeight="true" outlineLevel="0" collapsed="false">
      <c r="B8" s="34"/>
      <c r="C8" s="34"/>
      <c r="D8" s="34"/>
      <c r="E8" s="34"/>
      <c r="F8" s="34"/>
      <c r="G8" s="34"/>
      <c r="H8" s="34"/>
      <c r="I8" s="34"/>
      <c r="J8" s="34"/>
    </row>
    <row r="9" customFormat="false" ht="34.5" hidden="false" customHeight="true" outlineLevel="0" collapsed="false">
      <c r="B9" s="35"/>
      <c r="C9" s="35"/>
      <c r="D9" s="35"/>
      <c r="E9" s="35"/>
      <c r="F9" s="35"/>
      <c r="G9" s="35"/>
      <c r="H9" s="35"/>
      <c r="I9" s="35"/>
      <c r="J9" s="35"/>
    </row>
    <row r="10" customFormat="false" ht="34.5" hidden="false" customHeight="true" outlineLevel="0" collapsed="false">
      <c r="B10" s="34"/>
      <c r="C10" s="34"/>
      <c r="D10" s="34"/>
      <c r="E10" s="34"/>
      <c r="F10" s="34"/>
      <c r="G10" s="34"/>
      <c r="H10" s="34"/>
      <c r="I10" s="34"/>
      <c r="J10" s="34"/>
    </row>
    <row r="11" customFormat="false" ht="34.5" hidden="false" customHeight="true" outlineLevel="0" collapsed="false">
      <c r="B11" s="35"/>
      <c r="C11" s="35"/>
      <c r="D11" s="35"/>
      <c r="E11" s="35"/>
      <c r="F11" s="35"/>
      <c r="G11" s="35"/>
      <c r="H11" s="35"/>
      <c r="I11" s="35"/>
      <c r="J11" s="35"/>
    </row>
    <row r="12" customFormat="false" ht="34.5" hidden="false" customHeight="true" outlineLevel="0" collapsed="false">
      <c r="B12" s="34"/>
      <c r="C12" s="34"/>
      <c r="D12" s="34"/>
      <c r="E12" s="34"/>
      <c r="F12" s="34"/>
      <c r="G12" s="34"/>
      <c r="H12" s="34"/>
      <c r="I12" s="34"/>
      <c r="J12" s="34"/>
    </row>
    <row r="13" customFormat="false" ht="34.5" hidden="false" customHeight="true" outlineLevel="0" collapsed="false">
      <c r="B13" s="35"/>
      <c r="C13" s="35"/>
      <c r="D13" s="35"/>
      <c r="E13" s="35"/>
      <c r="F13" s="35"/>
      <c r="G13" s="35"/>
      <c r="H13" s="35"/>
      <c r="I13" s="35"/>
      <c r="J13" s="35"/>
    </row>
    <row r="14" customFormat="false" ht="34.5" hidden="false" customHeight="true" outlineLevel="0" collapsed="false">
      <c r="B14" s="34"/>
      <c r="C14" s="34"/>
      <c r="D14" s="34"/>
      <c r="E14" s="34"/>
      <c r="F14" s="34"/>
      <c r="G14" s="34"/>
      <c r="H14" s="34"/>
      <c r="I14" s="34"/>
      <c r="J14" s="34"/>
    </row>
    <row r="15" customFormat="false" ht="34.5" hidden="false" customHeight="true" outlineLevel="0" collapsed="false">
      <c r="B15" s="35"/>
      <c r="C15" s="35"/>
      <c r="D15" s="35"/>
      <c r="E15" s="35"/>
      <c r="F15" s="35"/>
      <c r="G15" s="35"/>
      <c r="H15" s="35"/>
      <c r="I15" s="35"/>
      <c r="J15" s="35"/>
    </row>
    <row r="16" customFormat="false" ht="34.5" hidden="false" customHeight="true" outlineLevel="0" collapsed="false">
      <c r="B16" s="34"/>
      <c r="C16" s="34"/>
      <c r="D16" s="34"/>
      <c r="E16" s="34"/>
      <c r="F16" s="34"/>
      <c r="G16" s="34"/>
      <c r="H16" s="34"/>
      <c r="I16" s="34"/>
      <c r="J16" s="34"/>
    </row>
    <row r="17" customFormat="false" ht="34.5" hidden="false" customHeight="true" outlineLevel="0" collapsed="false">
      <c r="B17" s="35"/>
      <c r="C17" s="35"/>
      <c r="D17" s="35"/>
      <c r="E17" s="35"/>
      <c r="F17" s="35"/>
      <c r="G17" s="35"/>
      <c r="H17" s="35"/>
      <c r="I17" s="35"/>
      <c r="J17" s="35"/>
    </row>
    <row r="18" customFormat="false" ht="34.5" hidden="false" customHeight="true" outlineLevel="0" collapsed="false">
      <c r="B18" s="34"/>
      <c r="C18" s="34"/>
      <c r="D18" s="34"/>
      <c r="E18" s="34"/>
      <c r="F18" s="34"/>
      <c r="G18" s="34"/>
      <c r="H18" s="34"/>
      <c r="I18" s="34"/>
      <c r="J18" s="34"/>
    </row>
    <row r="19" customFormat="false" ht="34.5" hidden="false" customHeight="true" outlineLevel="0" collapsed="false">
      <c r="B19" s="35"/>
      <c r="C19" s="35"/>
      <c r="D19" s="35"/>
      <c r="E19" s="35"/>
      <c r="F19" s="35"/>
      <c r="G19" s="35"/>
      <c r="H19" s="35"/>
      <c r="I19" s="35"/>
      <c r="J19" s="35"/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8" min="3" style="0" width="15"/>
  </cols>
  <sheetData>
    <row r="2" customFormat="false" ht="34.5" hidden="false" customHeight="true" outlineLevel="0" collapsed="false">
      <c r="B2" s="14" t="s">
        <v>262</v>
      </c>
      <c r="C2" s="14"/>
      <c r="D2" s="14"/>
      <c r="E2" s="14"/>
      <c r="F2" s="14"/>
      <c r="G2" s="14"/>
      <c r="H2" s="14"/>
    </row>
    <row r="4" customFormat="false" ht="24.75" hidden="false" customHeight="true" outlineLevel="0" collapsed="false">
      <c r="B4" s="3" t="s">
        <v>263</v>
      </c>
      <c r="C4" s="3"/>
      <c r="D4" s="3"/>
      <c r="E4" s="3"/>
      <c r="F4" s="3"/>
      <c r="G4" s="3"/>
      <c r="H4" s="3"/>
    </row>
    <row r="5" customFormat="false" ht="21.75" hidden="false" customHeight="true" outlineLevel="0" collapsed="false">
      <c r="B5" s="16" t="s">
        <v>264</v>
      </c>
      <c r="C5" s="36"/>
      <c r="D5" s="36"/>
      <c r="E5" s="36"/>
      <c r="F5" s="36"/>
      <c r="G5" s="36"/>
      <c r="H5" s="36"/>
    </row>
    <row r="6" customFormat="false" ht="21.75" hidden="false" customHeight="true" outlineLevel="0" collapsed="false">
      <c r="B6" s="16" t="s">
        <v>265</v>
      </c>
      <c r="C6" s="36"/>
      <c r="D6" s="36"/>
      <c r="E6" s="36"/>
      <c r="F6" s="36"/>
      <c r="G6" s="36"/>
      <c r="H6" s="36"/>
    </row>
    <row r="7" customFormat="false" ht="21.75" hidden="false" customHeight="true" outlineLevel="0" collapsed="false">
      <c r="B7" s="16" t="s">
        <v>266</v>
      </c>
      <c r="C7" s="36"/>
      <c r="D7" s="36"/>
      <c r="E7" s="36"/>
      <c r="F7" s="36"/>
      <c r="G7" s="36"/>
      <c r="H7" s="36"/>
    </row>
    <row r="8" customFormat="false" ht="21.75" hidden="false" customHeight="true" outlineLevel="0" collapsed="false">
      <c r="B8" s="16" t="s">
        <v>267</v>
      </c>
      <c r="C8" s="36"/>
      <c r="D8" s="36"/>
      <c r="E8" s="36"/>
      <c r="F8" s="36"/>
      <c r="G8" s="36"/>
      <c r="H8" s="36"/>
    </row>
    <row r="9" customFormat="false" ht="21.75" hidden="false" customHeight="true" outlineLevel="0" collapsed="false">
      <c r="B9" s="16" t="s">
        <v>268</v>
      </c>
      <c r="C9" s="36"/>
      <c r="D9" s="36"/>
      <c r="E9" s="36"/>
      <c r="F9" s="36"/>
      <c r="G9" s="36"/>
      <c r="H9" s="36"/>
    </row>
    <row r="11" customFormat="false" ht="24.75" hidden="false" customHeight="true" outlineLevel="0" collapsed="false">
      <c r="B11" s="3" t="s">
        <v>269</v>
      </c>
      <c r="C11" s="3"/>
      <c r="D11" s="3"/>
      <c r="E11" s="3"/>
      <c r="F11" s="3"/>
      <c r="G11" s="3"/>
      <c r="H11" s="3"/>
    </row>
    <row r="12" customFormat="false" ht="24.75" hidden="false" customHeight="true" outlineLevel="0" collapsed="false">
      <c r="B12" s="4" t="s">
        <v>37</v>
      </c>
      <c r="C12" s="4" t="s">
        <v>270</v>
      </c>
      <c r="D12" s="4" t="s">
        <v>271</v>
      </c>
      <c r="E12" s="4" t="s">
        <v>272</v>
      </c>
      <c r="F12" s="4" t="s">
        <v>273</v>
      </c>
      <c r="G12" s="4" t="s">
        <v>274</v>
      </c>
      <c r="H12" s="4" t="s">
        <v>275</v>
      </c>
    </row>
    <row r="13" customFormat="false" ht="21.75" hidden="false" customHeight="true" outlineLevel="0" collapsed="false">
      <c r="B13" s="21" t="s">
        <v>45</v>
      </c>
      <c r="C13" s="20" t="n">
        <v>8</v>
      </c>
      <c r="D13" s="20" t="n">
        <v>6</v>
      </c>
      <c r="E13" s="20" t="n">
        <v>1</v>
      </c>
      <c r="F13" s="20" t="n">
        <v>1</v>
      </c>
      <c r="G13" s="20" t="n">
        <v>0</v>
      </c>
      <c r="H13" s="37" t="n">
        <f aca="false">IF(C13&gt;0,D13/C13,0)</f>
        <v>0.75</v>
      </c>
    </row>
    <row r="14" customFormat="false" ht="21.75" hidden="false" customHeight="true" outlineLevel="0" collapsed="false">
      <c r="B14" s="6" t="s">
        <v>53</v>
      </c>
      <c r="C14" s="7" t="n">
        <v>6</v>
      </c>
      <c r="D14" s="7" t="n">
        <v>5</v>
      </c>
      <c r="E14" s="7" t="n">
        <v>0</v>
      </c>
      <c r="F14" s="7" t="n">
        <v>1</v>
      </c>
      <c r="G14" s="7" t="n">
        <v>0</v>
      </c>
      <c r="H14" s="38" t="n">
        <f aca="false">IF(C14&gt;0,D14/C14,0)</f>
        <v>0.833333333333333</v>
      </c>
    </row>
    <row r="15" customFormat="false" ht="21.75" hidden="false" customHeight="true" outlineLevel="0" collapsed="false">
      <c r="B15" s="21" t="s">
        <v>58</v>
      </c>
      <c r="C15" s="20" t="n">
        <v>10</v>
      </c>
      <c r="D15" s="20" t="n">
        <v>7</v>
      </c>
      <c r="E15" s="20" t="n">
        <v>2</v>
      </c>
      <c r="F15" s="20" t="n">
        <v>0</v>
      </c>
      <c r="G15" s="20" t="n">
        <v>1</v>
      </c>
      <c r="H15" s="37" t="n">
        <f aca="false">IF(C15&gt;0,D15/C15,0)</f>
        <v>0.7</v>
      </c>
    </row>
    <row r="16" customFormat="false" ht="21.75" hidden="false" customHeight="true" outlineLevel="0" collapsed="false">
      <c r="B16" s="6" t="s">
        <v>64</v>
      </c>
      <c r="C16" s="7" t="n">
        <v>5</v>
      </c>
      <c r="D16" s="7" t="n">
        <v>3</v>
      </c>
      <c r="E16" s="7" t="n">
        <v>2</v>
      </c>
      <c r="F16" s="7" t="n">
        <v>0</v>
      </c>
      <c r="G16" s="7" t="n">
        <v>0</v>
      </c>
      <c r="H16" s="38" t="n">
        <f aca="false">IF(C16&gt;0,D16/C16,0)</f>
        <v>0.6</v>
      </c>
    </row>
    <row r="17" customFormat="false" ht="21.75" hidden="false" customHeight="true" outlineLevel="0" collapsed="false">
      <c r="B17" s="21" t="s">
        <v>69</v>
      </c>
      <c r="C17" s="20" t="n">
        <v>7</v>
      </c>
      <c r="D17" s="20" t="n">
        <v>7</v>
      </c>
      <c r="E17" s="20" t="n">
        <v>0</v>
      </c>
      <c r="F17" s="20" t="n">
        <v>0</v>
      </c>
      <c r="G17" s="20" t="n">
        <v>0</v>
      </c>
      <c r="H17" s="37" t="n">
        <f aca="false">IF(C17&gt;0,D17/C17,0)</f>
        <v>1</v>
      </c>
    </row>
    <row r="18" customFormat="false" ht="21.75" hidden="false" customHeight="true" outlineLevel="0" collapsed="false">
      <c r="B18" s="6"/>
      <c r="C18" s="7"/>
      <c r="D18" s="7"/>
      <c r="E18" s="7"/>
      <c r="F18" s="7"/>
      <c r="G18" s="7"/>
    </row>
    <row r="19" customFormat="false" ht="21.75" hidden="false" customHeight="true" outlineLevel="0" collapsed="false">
      <c r="B19" s="21"/>
      <c r="C19" s="20"/>
      <c r="D19" s="20"/>
      <c r="E19" s="20"/>
      <c r="F19" s="20"/>
      <c r="G19" s="20"/>
    </row>
    <row r="20" customFormat="false" ht="24.75" hidden="false" customHeight="true" outlineLevel="0" collapsed="false">
      <c r="B20" s="39" t="s">
        <v>276</v>
      </c>
      <c r="C20" s="40" t="n">
        <f aca="false">SUM(C13:C19)</f>
        <v>36</v>
      </c>
      <c r="D20" s="40" t="n">
        <f aca="false">SUM(D13:D19)</f>
        <v>28</v>
      </c>
      <c r="E20" s="40" t="n">
        <f aca="false">SUM(E13:E19)</f>
        <v>5</v>
      </c>
      <c r="F20" s="40" t="n">
        <f aca="false">SUM(F13:F19)</f>
        <v>2</v>
      </c>
      <c r="G20" s="40" t="n">
        <f aca="false">SUM(G13:G19)</f>
        <v>1</v>
      </c>
      <c r="H20" s="41" t="n">
        <f aca="false">IF(C20&gt;0,D20/C20,0)</f>
        <v>0.777777777777778</v>
      </c>
    </row>
    <row r="22" customFormat="false" ht="24.75" hidden="false" customHeight="true" outlineLevel="0" collapsed="false">
      <c r="B22" s="42" t="s">
        <v>277</v>
      </c>
      <c r="C22" s="42"/>
      <c r="D22" s="42"/>
      <c r="E22" s="42"/>
      <c r="F22" s="42"/>
      <c r="G22" s="42"/>
      <c r="H22" s="42"/>
    </row>
    <row r="23" customFormat="false" ht="21.75" hidden="false" customHeight="true" outlineLevel="0" collapsed="false">
      <c r="B23" s="43" t="s">
        <v>236</v>
      </c>
      <c r="C23" s="43" t="s">
        <v>278</v>
      </c>
      <c r="D23" s="43" t="s">
        <v>247</v>
      </c>
      <c r="E23" s="43" t="s">
        <v>255</v>
      </c>
      <c r="F23" s="43" t="s">
        <v>279</v>
      </c>
      <c r="G23" s="43" t="s">
        <v>280</v>
      </c>
      <c r="H23" s="43"/>
    </row>
    <row r="24" customFormat="false" ht="21.75" hidden="false" customHeight="true" outlineLevel="0" collapsed="false">
      <c r="B24" s="44" t="s">
        <v>281</v>
      </c>
      <c r="C24" s="45" t="n">
        <v>0</v>
      </c>
      <c r="D24" s="45" t="n">
        <v>0</v>
      </c>
      <c r="E24" s="45" t="n">
        <v>0</v>
      </c>
      <c r="F24" s="45" t="n">
        <v>0</v>
      </c>
      <c r="G24" s="46" t="n">
        <f aca="false">IF(C24&gt;0,F24/C24,0)</f>
        <v>0</v>
      </c>
    </row>
    <row r="25" customFormat="false" ht="21.75" hidden="false" customHeight="true" outlineLevel="0" collapsed="false">
      <c r="B25" s="44" t="s">
        <v>243</v>
      </c>
      <c r="C25" s="45" t="n">
        <v>2</v>
      </c>
      <c r="D25" s="45" t="n">
        <v>2</v>
      </c>
      <c r="E25" s="45" t="n">
        <v>0</v>
      </c>
      <c r="F25" s="45" t="n">
        <v>0</v>
      </c>
      <c r="G25" s="46" t="n">
        <f aca="false">IF(C25&gt;0,F25/C25,0)</f>
        <v>0</v>
      </c>
    </row>
    <row r="26" customFormat="false" ht="21.75" hidden="false" customHeight="true" outlineLevel="0" collapsed="false">
      <c r="B26" s="47" t="s">
        <v>251</v>
      </c>
      <c r="C26" s="48" t="n">
        <v>1</v>
      </c>
      <c r="D26" s="48" t="n">
        <v>0</v>
      </c>
      <c r="E26" s="48" t="n">
        <v>1</v>
      </c>
      <c r="F26" s="48" t="n">
        <v>0</v>
      </c>
      <c r="G26" s="49" t="n">
        <f aca="false">IF(C26&gt;0,F26/C26,0)</f>
        <v>0</v>
      </c>
    </row>
    <row r="27" customFormat="false" ht="21.75" hidden="false" customHeight="true" outlineLevel="0" collapsed="false">
      <c r="B27" s="6" t="s">
        <v>282</v>
      </c>
      <c r="C27" s="7" t="n">
        <v>0</v>
      </c>
      <c r="D27" s="7" t="n">
        <v>0</v>
      </c>
      <c r="E27" s="7" t="n">
        <v>0</v>
      </c>
      <c r="F27" s="7" t="n">
        <v>0</v>
      </c>
      <c r="G27" s="38" t="n">
        <f aca="false">IF(C27&gt;0,F27/C27,0)</f>
        <v>0</v>
      </c>
    </row>
  </sheetData>
  <mergeCells count="9">
    <mergeCell ref="B2:H2"/>
    <mergeCell ref="B4:H4"/>
    <mergeCell ref="C5:H5"/>
    <mergeCell ref="C6:H6"/>
    <mergeCell ref="C7:H7"/>
    <mergeCell ref="C8:H8"/>
    <mergeCell ref="C9:H9"/>
    <mergeCell ref="B11:H11"/>
    <mergeCell ref="B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2026-07-09T12:07:04Z</dcterms:created>
  <dc:creator>openpyxl</dc:creator>
  <dc:description/>
  <dc:language>en-US</dc:language>
  <cp:lastModifiedBy/>
  <dcterms:modified xsi:type="dcterms:W3CDTF">2026-07-09T12:07:05Z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